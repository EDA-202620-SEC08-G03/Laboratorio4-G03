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7e920cb68ed4a8/Desktop/"/>
    </mc:Choice>
  </mc:AlternateContent>
  <xr:revisionPtr revIDLastSave="1" documentId="8_{80D377FB-29A8-4F4C-8536-ADD351CD3C88}" xr6:coauthVersionLast="47" xr6:coauthVersionMax="47" xr10:uidLastSave="{936F2B28-3D35-4DE5-BD7C-5C5604A6E194}"/>
  <bookViews>
    <workbookView xWindow="-110" yWindow="-110" windowWidth="19420" windowHeight="11500" firstSheet="4" activeTab="4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<sst xmlns="http://schemas.openxmlformats.org/spreadsheetml/2006/main" count="20" uniqueCount="17">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</sst>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8.5999999999999993E-2</c:v>
                </c:pt>
                <c:pt idx="1">
                  <c:v>0.21</c:v>
                </c:pt>
                <c:pt idx="2">
                  <c:v>0.65</c:v>
                </c:pt>
                <c:pt idx="3">
                  <c:v>1.0740000000000001</c:v>
                </c:pt>
                <c:pt idx="4">
                  <c:v>1.369</c:v>
                </c:pt>
                <c:pt idx="5">
                  <c:v>1.746</c:v>
                </c:pt>
                <c:pt idx="6">
                  <c:v>2.1539999999999999</c:v>
                </c:pt>
                <c:pt idx="7">
                  <c:v>3.3279999999999998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  <c:pt idx="0">
                  <c:v>9.1999999999999998E-2</c:v>
                </c:pt>
                <c:pt idx="1">
                  <c:v>0.371</c:v>
                </c:pt>
                <c:pt idx="2">
                  <c:v>0.42299999999999999</c:v>
                </c:pt>
                <c:pt idx="3">
                  <c:v>0.997</c:v>
                </c:pt>
                <c:pt idx="4">
                  <c:v>1.363</c:v>
                </c:pt>
                <c:pt idx="5" formatCode="0.000">
                  <c:v>2.0099999999999998</c:v>
                </c:pt>
                <c:pt idx="6">
                  <c:v>2.4079999999999999</c:v>
                </c:pt>
                <c:pt idx="7">
                  <c:v>3.1840000000000002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7.6999999999999999E-2</c:v>
                </c:pt>
                <c:pt idx="1">
                  <c:v>0.499</c:v>
                </c:pt>
                <c:pt idx="2">
                  <c:v>0.83699999999999997</c:v>
                </c:pt>
                <c:pt idx="3">
                  <c:v>5.125</c:v>
                </c:pt>
                <c:pt idx="4">
                  <c:v>8.2889999999999997</c:v>
                </c:pt>
                <c:pt idx="5">
                  <c:v>21.835999999999999</c:v>
                </c:pt>
                <c:pt idx="6">
                  <c:v>59.247</c:v>
                </c:pt>
                <c:pt idx="7">
                  <c:v>89.042000000000002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  <c:pt idx="0">
                  <c:v>0.182</c:v>
                </c:pt>
                <c:pt idx="1">
                  <c:v>0.39500000000000002</c:v>
                </c:pt>
                <c:pt idx="2">
                  <c:v>0.73599999999999999</c:v>
                </c:pt>
                <c:pt idx="3">
                  <c:v>4.5869999999999997</c:v>
                </c:pt>
                <c:pt idx="4">
                  <c:v>8.6690000000000005</c:v>
                </c:pt>
                <c:pt idx="5">
                  <c:v>21.817</c:v>
                </c:pt>
                <c:pt idx="6">
                  <c:v>55.661999999999999</c:v>
                </c:pt>
                <c:pt idx="7">
                  <c:v>89.799000000000007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  <c:pt idx="0">
                  <c:v>4.0000000000000001E-3</c:v>
                </c:pt>
                <c:pt idx="1">
                  <c:v>1E-3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  <c:pt idx="0" formatCode="0.000">
                  <c:v>3.0000000000000001E-3</c:v>
                </c:pt>
                <c:pt idx="1">
                  <c:v>4.0000000000000001E-3</c:v>
                </c:pt>
                <c:pt idx="2">
                  <c:v>1E-3</c:v>
                </c:pt>
                <c:pt idx="3">
                  <c:v>1E-3</c:v>
                </c:pt>
                <c:pt idx="4">
                  <c:v>2E-3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de tiempos de ejecucion para Stack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  <c:pt idx="0">
                  <c:v>2.1999999999999999E-2</c:v>
                </c:pt>
                <c:pt idx="1">
                  <c:v>0.192</c:v>
                </c:pt>
                <c:pt idx="2">
                  <c:v>0.315</c:v>
                </c:pt>
                <c:pt idx="3" formatCode="0.000">
                  <c:v>0.34</c:v>
                </c:pt>
                <c:pt idx="4">
                  <c:v>1.6040000000000001</c:v>
                </c:pt>
                <c:pt idx="5">
                  <c:v>0.90400000000000003</c:v>
                </c:pt>
                <c:pt idx="6">
                  <c:v>1.7310000000000001</c:v>
                </c:pt>
                <c:pt idx="7">
                  <c:v>1.7350000000000001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0.000</c:formatCode>
                <c:ptCount val="8"/>
                <c:pt idx="0">
                  <c:v>3.3000000000000002E-2</c:v>
                </c:pt>
                <c:pt idx="1">
                  <c:v>0.17499999999999999</c:v>
                </c:pt>
                <c:pt idx="2" formatCode="General">
                  <c:v>0.255</c:v>
                </c:pt>
                <c:pt idx="3" formatCode="General">
                  <c:v>0.35499999999999998</c:v>
                </c:pt>
                <c:pt idx="4" formatCode="General">
                  <c:v>0.41899999999999998</c:v>
                </c:pt>
                <c:pt idx="5" formatCode="General">
                  <c:v>0.93799999999999994</c:v>
                </c:pt>
                <c:pt idx="6" formatCode="General">
                  <c:v>1.4179999999999999</c:v>
                </c:pt>
                <c:pt idx="7" formatCode="General">
                  <c:v>1.804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Tamaño de la muestra [Num. elementos]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/>
      </a:pPr>
      <a:endParaRPr lang="es-CO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0.000</c:formatCode>
                <c:ptCount val="8"/>
                <c:pt idx="0" formatCode="General">
                  <c:v>4.7E-2</c:v>
                </c:pt>
                <c:pt idx="1">
                  <c:v>1.92</c:v>
                </c:pt>
                <c:pt idx="2" formatCode="General">
                  <c:v>0.67800000000000005</c:v>
                </c:pt>
                <c:pt idx="3" formatCode="General">
                  <c:v>0.73099999999999998</c:v>
                </c:pt>
                <c:pt idx="4" formatCode="General">
                  <c:v>2.4140000000000001</c:v>
                </c:pt>
                <c:pt idx="5" formatCode="General">
                  <c:v>6.319</c:v>
                </c:pt>
                <c:pt idx="6" formatCode="General">
                  <c:v>2.988</c:v>
                </c:pt>
                <c:pt idx="7" formatCode="General">
                  <c:v>3.68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0.000</c:formatCode>
                <c:ptCount val="8"/>
                <c:pt idx="0">
                  <c:v>4.8000000000000001E-2</c:v>
                </c:pt>
                <c:pt idx="1">
                  <c:v>0.312</c:v>
                </c:pt>
                <c:pt idx="2" formatCode="General">
                  <c:v>0.628</c:v>
                </c:pt>
                <c:pt idx="3" formatCode="General">
                  <c:v>0.63300000000000001</c:v>
                </c:pt>
                <c:pt idx="4" formatCode="General">
                  <c:v>0.998</c:v>
                </c:pt>
                <c:pt idx="5" formatCode="General">
                  <c:v>1.9219999999999999</c:v>
                </c:pt>
                <c:pt idx="6" formatCode="General">
                  <c:v>2.8010000000000002</c:v>
                </c:pt>
                <c:pt idx="7" formatCode="General">
                  <c:v>3.653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  <c:pt idx="0">
                  <c:v>3.0000000000000001E-3</c:v>
                </c:pt>
                <c:pt idx="1">
                  <c:v>4.0000000000000001E-3</c:v>
                </c:pt>
                <c:pt idx="2">
                  <c:v>2E-3</c:v>
                </c:pt>
                <c:pt idx="3">
                  <c:v>1E-3</c:v>
                </c:pt>
                <c:pt idx="4">
                  <c:v>2E-3</c:v>
                </c:pt>
                <c:pt idx="5">
                  <c:v>1E-3</c:v>
                </c:pt>
                <c:pt idx="6">
                  <c:v>2E-3</c:v>
                </c:pt>
                <c:pt idx="7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0.000</c:formatCode>
                <c:ptCount val="8"/>
                <c:pt idx="0">
                  <c:v>5.0000000000000001E-3</c:v>
                </c:pt>
                <c:pt idx="1">
                  <c:v>4.0000000000000001E-3</c:v>
                </c:pt>
                <c:pt idx="2" formatCode="General">
                  <c:v>1E-3</c:v>
                </c:pt>
                <c:pt idx="3" formatCode="General">
                  <c:v>1E-3</c:v>
                </c:pt>
                <c:pt idx="4" formatCode="General">
                  <c:v>1E-3</c:v>
                </c:pt>
                <c:pt idx="5" formatCode="General">
                  <c:v>1E-3</c:v>
                </c:pt>
                <c:pt idx="6" formatCode="General">
                  <c:v>2E-3</c:v>
                </c:pt>
                <c:pt idx="7" formatCode="General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tabSelected="1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opLeftCell="D2" zoomScale="90" zoomScaleNormal="90" workbookViewId="0">
      <selection activeCell="F22" sqref="F22"/>
    </sheetView>
  </sheetViews>
  <sheetFormatPr baseColWidth="10" defaultColWidth="8.81640625" defaultRowHeight="14.5"/>
  <cols>
    <col min="1" max="1" width="19.1796875" style="1" bestFit="1" customWidth="1"/>
    <col min="2" max="2" width="25.54296875" style="1" bestFit="1" customWidth="1"/>
    <col min="3" max="4" width="24.453125" style="1" customWidth="1"/>
    <col min="5" max="5" width="24.453125" style="6" customWidth="1"/>
    <col min="6" max="12" width="24.45312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2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4">
      <c r="A3" s="2">
        <v>5.0000000000000001E-3</v>
      </c>
      <c r="B3" s="3">
        <f>Table1[[#This Row],[Porcentaje de la muestra '[pct']]]*10000</f>
        <v>50</v>
      </c>
      <c r="C3" s="4">
        <v>8.5999999999999993E-2</v>
      </c>
      <c r="D3" s="4">
        <v>7.6999999999999999E-2</v>
      </c>
      <c r="E3" s="4">
        <v>4.0000000000000001E-3</v>
      </c>
      <c r="F3" s="4">
        <v>2.1999999999999999E-2</v>
      </c>
      <c r="G3" s="4">
        <v>4.7E-2</v>
      </c>
      <c r="H3" s="4">
        <v>3.0000000000000001E-3</v>
      </c>
    </row>
    <row r="4" spans="1:8" s="5" customFormat="1" ht="14">
      <c r="A4" s="2">
        <v>0.05</v>
      </c>
      <c r="B4" s="3">
        <f>Table1[[#This Row],[Porcentaje de la muestra '[pct']]]*10000</f>
        <v>500</v>
      </c>
      <c r="C4" s="4">
        <v>0.21</v>
      </c>
      <c r="D4" s="4">
        <v>0.499</v>
      </c>
      <c r="E4" s="4">
        <v>1E-3</v>
      </c>
      <c r="F4" s="4">
        <v>0.192</v>
      </c>
      <c r="G4" s="9">
        <v>1.92</v>
      </c>
      <c r="H4" s="4">
        <v>4.0000000000000001E-3</v>
      </c>
    </row>
    <row r="5" spans="1:8">
      <c r="A5" s="2">
        <v>0.1</v>
      </c>
      <c r="B5" s="3">
        <f>Table1[[#This Row],[Porcentaje de la muestra '[pct']]]*10000</f>
        <v>1000</v>
      </c>
      <c r="C5" s="4">
        <v>0.65</v>
      </c>
      <c r="D5" s="4">
        <v>0.83699999999999997</v>
      </c>
      <c r="E5" s="4">
        <v>2E-3</v>
      </c>
      <c r="F5" s="4">
        <v>0.315</v>
      </c>
      <c r="G5" s="4">
        <v>0.67800000000000005</v>
      </c>
      <c r="H5" s="4">
        <v>2E-3</v>
      </c>
    </row>
    <row r="6" spans="1:8">
      <c r="A6" s="2">
        <v>0.2</v>
      </c>
      <c r="B6" s="3">
        <f>Table1[[#This Row],[Porcentaje de la muestra '[pct']]]*10000</f>
        <v>2000</v>
      </c>
      <c r="C6" s="4">
        <v>1.0740000000000001</v>
      </c>
      <c r="D6" s="4">
        <v>5.125</v>
      </c>
      <c r="E6" s="4">
        <v>2E-3</v>
      </c>
      <c r="F6" s="9">
        <v>0.34</v>
      </c>
      <c r="G6" s="4">
        <v>0.73099999999999998</v>
      </c>
      <c r="H6" s="4">
        <v>1E-3</v>
      </c>
    </row>
    <row r="7" spans="1:8">
      <c r="A7" s="2">
        <v>0.3</v>
      </c>
      <c r="B7" s="3">
        <f>Table1[[#This Row],[Porcentaje de la muestra '[pct']]]*10000</f>
        <v>3000</v>
      </c>
      <c r="C7" s="4">
        <v>1.369</v>
      </c>
      <c r="D7" s="4">
        <v>8.2889999999999997</v>
      </c>
      <c r="E7" s="4">
        <v>2E-3</v>
      </c>
      <c r="F7" s="4">
        <v>1.6040000000000001</v>
      </c>
      <c r="G7" s="4">
        <v>2.4140000000000001</v>
      </c>
      <c r="H7" s="4">
        <v>2E-3</v>
      </c>
    </row>
    <row r="8" spans="1:8">
      <c r="A8" s="2">
        <v>0.5</v>
      </c>
      <c r="B8" s="3">
        <f>Table1[[#This Row],[Porcentaje de la muestra '[pct']]]*10000</f>
        <v>5000</v>
      </c>
      <c r="C8" s="4">
        <v>1.746</v>
      </c>
      <c r="D8" s="4">
        <v>21.835999999999999</v>
      </c>
      <c r="E8" s="4">
        <v>1E-3</v>
      </c>
      <c r="F8" s="4">
        <v>0.90400000000000003</v>
      </c>
      <c r="G8" s="4">
        <v>6.319</v>
      </c>
      <c r="H8" s="4">
        <v>1E-3</v>
      </c>
    </row>
    <row r="9" spans="1:8">
      <c r="A9" s="2">
        <v>0.8</v>
      </c>
      <c r="B9" s="3">
        <f>Table1[[#This Row],[Porcentaje de la muestra '[pct']]]*10000</f>
        <v>8000</v>
      </c>
      <c r="C9" s="4">
        <v>2.1539999999999999</v>
      </c>
      <c r="D9" s="4">
        <v>59.247</v>
      </c>
      <c r="E9" s="4">
        <v>1E-3</v>
      </c>
      <c r="F9" s="4">
        <v>1.7310000000000001</v>
      </c>
      <c r="G9" s="4">
        <v>2.988</v>
      </c>
      <c r="H9" s="4">
        <v>2E-3</v>
      </c>
    </row>
    <row r="10" spans="1:8">
      <c r="A10" s="2">
        <v>1</v>
      </c>
      <c r="B10" s="3">
        <f>Table1[[#This Row],[Porcentaje de la muestra '[pct']]]*10000</f>
        <v>10000</v>
      </c>
      <c r="C10" s="4">
        <v>3.3279999999999998</v>
      </c>
      <c r="D10" s="4">
        <v>89.042000000000002</v>
      </c>
      <c r="E10" s="4">
        <v>1E-3</v>
      </c>
      <c r="F10" s="4">
        <v>1.7350000000000001</v>
      </c>
      <c r="G10" s="4">
        <v>3.68</v>
      </c>
      <c r="H10" s="4">
        <v>2E-3</v>
      </c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28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4">
      <c r="A14" s="2">
        <v>5.0000000000000001E-3</v>
      </c>
      <c r="B14" s="3">
        <f>Table13[[#This Row],[Porcentaje de la muestra '[pct']]]*10000</f>
        <v>50</v>
      </c>
      <c r="C14" s="4">
        <v>9.1999999999999998E-2</v>
      </c>
      <c r="D14" s="4">
        <v>0.182</v>
      </c>
      <c r="E14" s="9">
        <v>3.0000000000000001E-3</v>
      </c>
      <c r="F14" s="9">
        <v>3.3000000000000002E-2</v>
      </c>
      <c r="G14" s="9">
        <v>4.8000000000000001E-2</v>
      </c>
      <c r="H14" s="9">
        <v>5.0000000000000001E-3</v>
      </c>
    </row>
    <row r="15" spans="1:8" s="5" customFormat="1" ht="14">
      <c r="A15" s="2">
        <v>0.05</v>
      </c>
      <c r="B15" s="3">
        <f>Table13[[#This Row],[Porcentaje de la muestra '[pct']]]*10000</f>
        <v>500</v>
      </c>
      <c r="C15" s="4">
        <v>0.371</v>
      </c>
      <c r="D15" s="4">
        <v>0.39500000000000002</v>
      </c>
      <c r="E15" s="4">
        <v>4.0000000000000001E-3</v>
      </c>
      <c r="F15" s="9">
        <v>0.17499999999999999</v>
      </c>
      <c r="G15" s="9">
        <v>0.312</v>
      </c>
      <c r="H15" s="9">
        <v>4.0000000000000001E-3</v>
      </c>
    </row>
    <row r="16" spans="1:8">
      <c r="A16" s="2">
        <v>0.1</v>
      </c>
      <c r="B16" s="3">
        <f>Table13[[#This Row],[Porcentaje de la muestra '[pct']]]*10000</f>
        <v>1000</v>
      </c>
      <c r="C16" s="4">
        <v>0.42299999999999999</v>
      </c>
      <c r="D16" s="4">
        <v>0.73599999999999999</v>
      </c>
      <c r="E16" s="4">
        <v>1E-3</v>
      </c>
      <c r="F16" s="4">
        <v>0.255</v>
      </c>
      <c r="G16" s="4">
        <v>0.628</v>
      </c>
      <c r="H16" s="4">
        <v>1E-3</v>
      </c>
    </row>
    <row r="17" spans="1:8">
      <c r="A17" s="2">
        <v>0.2</v>
      </c>
      <c r="B17" s="3">
        <f>Table13[[#This Row],[Porcentaje de la muestra '[pct']]]*10000</f>
        <v>2000</v>
      </c>
      <c r="C17" s="4">
        <v>0.997</v>
      </c>
      <c r="D17" s="4">
        <v>4.5869999999999997</v>
      </c>
      <c r="E17" s="4">
        <v>1E-3</v>
      </c>
      <c r="F17" s="4">
        <v>0.35499999999999998</v>
      </c>
      <c r="G17" s="4">
        <v>0.63300000000000001</v>
      </c>
      <c r="H17" s="4">
        <v>1E-3</v>
      </c>
    </row>
    <row r="18" spans="1:8">
      <c r="A18" s="2">
        <v>0.3</v>
      </c>
      <c r="B18" s="3">
        <f>Table13[[#This Row],[Porcentaje de la muestra '[pct']]]*10000</f>
        <v>3000</v>
      </c>
      <c r="C18" s="4">
        <v>1.363</v>
      </c>
      <c r="D18" s="4">
        <v>8.6690000000000005</v>
      </c>
      <c r="E18" s="4">
        <v>2E-3</v>
      </c>
      <c r="F18" s="4">
        <v>0.41899999999999998</v>
      </c>
      <c r="G18" s="4">
        <v>0.998</v>
      </c>
      <c r="H18" s="4">
        <v>1E-3</v>
      </c>
    </row>
    <row r="19" spans="1:8">
      <c r="A19" s="2">
        <v>0.5</v>
      </c>
      <c r="B19" s="3">
        <f>Table13[[#This Row],[Porcentaje de la muestra '[pct']]]*10000</f>
        <v>5000</v>
      </c>
      <c r="C19" s="9">
        <v>2.0099999999999998</v>
      </c>
      <c r="D19" s="4">
        <v>21.817</v>
      </c>
      <c r="E19" s="4">
        <v>1E-3</v>
      </c>
      <c r="F19" s="4">
        <v>0.93799999999999994</v>
      </c>
      <c r="G19" s="4">
        <v>1.9219999999999999</v>
      </c>
      <c r="H19" s="4">
        <v>1E-3</v>
      </c>
    </row>
    <row r="20" spans="1:8">
      <c r="A20" s="2">
        <v>0.8</v>
      </c>
      <c r="B20" s="3">
        <f>Table13[[#This Row],[Porcentaje de la muestra '[pct']]]*10000</f>
        <v>8000</v>
      </c>
      <c r="C20" s="4">
        <v>2.4079999999999999</v>
      </c>
      <c r="D20" s="4">
        <v>55.661999999999999</v>
      </c>
      <c r="E20" s="4">
        <v>1E-3</v>
      </c>
      <c r="F20" s="4">
        <v>1.4179999999999999</v>
      </c>
      <c r="G20" s="4">
        <v>2.8010000000000002</v>
      </c>
      <c r="H20" s="4">
        <v>2E-3</v>
      </c>
    </row>
    <row r="21" spans="1:8">
      <c r="A21" s="2">
        <v>1</v>
      </c>
      <c r="B21" s="3">
        <f>Table13[[#This Row],[Porcentaje de la muestra '[pct']]]*10000</f>
        <v>10000</v>
      </c>
      <c r="C21" s="4">
        <v>3.1840000000000002</v>
      </c>
      <c r="D21" s="4">
        <v>89.799000000000007</v>
      </c>
      <c r="E21" s="4">
        <v>1E-3</v>
      </c>
      <c r="F21" s="4">
        <v>1.804</v>
      </c>
      <c r="G21" s="4">
        <v>3.653</v>
      </c>
      <c r="H21" s="4">
        <v>1E-3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Jose Santos</cp:lastModifiedBy>
  <cp:revision/>
  <dcterms:created xsi:type="dcterms:W3CDTF">2021-02-18T03:17:26Z</dcterms:created>
  <dcterms:modified xsi:type="dcterms:W3CDTF">2026-09-07T01:54:38Z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