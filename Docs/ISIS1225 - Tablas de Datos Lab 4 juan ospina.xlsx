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2c2fef6d7576cc/Desktop/"/>
    </mc:Choice>
  </mc:AlternateContent>
  <xr:revisionPtr revIDLastSave="186" documentId="8_{8AE873B8-C127-46EC-B759-DC6F8B253F1B}" xr6:coauthVersionLast="47" xr6:coauthVersionMax="47" xr10:uidLastSave="{E2700E4C-3EF9-4C11-99A0-8E405F5D83E6}"/>
  <bookViews>
    <workbookView xWindow="-110" yWindow="-110" windowWidth="22620" windowHeight="13500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<sst xmlns="http://schemas.openxmlformats.org/spreadsheetml/2006/main" count="21" uniqueCount="18">
  <si>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</si>
  <si>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</si>
  <si>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</si>
  <si>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</si>
  <si>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</si>
  <si>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</si>
  <si>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</si>
  <si>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</si>
  <si>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</si>
  <si>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</si>
  <si>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</si>
  <si>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</si>
  <si>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</si>
  <si>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</si>
  <si>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</si>
  <si>
    <t xml:space="preserve">TIEMPOS PARA QUEUE </t>
  </si>
  <si>
    <t xml:space="preserve">TIEMPOS PARA STACK </t>
  </si>
  <si>
    <t>0,005 [ms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</si>
</sst>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  <c:pt idx="0">
                  <c:v>6.4000000000000001E-2</c:v>
                </c:pt>
                <c:pt idx="1">
                  <c:v>0.437</c:v>
                </c:pt>
                <c:pt idx="2">
                  <c:v>0.503</c:v>
                </c:pt>
                <c:pt idx="3" formatCode="#,##0">
                  <c:v>1274</c:v>
                </c:pt>
                <c:pt idx="4" formatCode="#,##0">
                  <c:v>1416</c:v>
                </c:pt>
                <c:pt idx="5" formatCode="#,##0">
                  <c:v>2399</c:v>
                </c:pt>
                <c:pt idx="6" formatCode="#,##0">
                  <c:v>3604</c:v>
                </c:pt>
                <c:pt idx="7" formatCode="#,##0">
                  <c:v>2468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  <c:pt idx="0">
                  <c:v>7.0999999999999994E-2</c:v>
                </c:pt>
                <c:pt idx="1">
                  <c:v>0.67800000000000005</c:v>
                </c:pt>
                <c:pt idx="2">
                  <c:v>0.76500000000000001</c:v>
                </c:pt>
                <c:pt idx="3">
                  <c:v>0.66</c:v>
                </c:pt>
                <c:pt idx="4" formatCode="#,##0">
                  <c:v>1097</c:v>
                </c:pt>
                <c:pt idx="5" formatCode="#,##0">
                  <c:v>4308</c:v>
                </c:pt>
                <c:pt idx="6" formatCode="#,##0">
                  <c:v>6842</c:v>
                </c:pt>
                <c:pt idx="7" formatCode="#,##0">
                  <c:v>5873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max"/>
        <c:crossBetween val="midCat"/>
      </c:valAx>
      <c:valAx>
        <c:axId val="1328121328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  <c:pt idx="0">
                  <c:v>6.7000000000000004E-2</c:v>
                </c:pt>
                <c:pt idx="1">
                  <c:v>0.74199999999999999</c:v>
                </c:pt>
                <c:pt idx="2">
                  <c:v>0.93300000000000005</c:v>
                </c:pt>
                <c:pt idx="3" formatCode="#,##0">
                  <c:v>2110</c:v>
                </c:pt>
                <c:pt idx="4" formatCode="#,##0">
                  <c:v>3064</c:v>
                </c:pt>
                <c:pt idx="5" formatCode="#,##0">
                  <c:v>2921</c:v>
                </c:pt>
                <c:pt idx="6" formatCode="#,##0">
                  <c:v>5421</c:v>
                </c:pt>
                <c:pt idx="7" formatCode="#,##0">
                  <c:v>9367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  <c:pt idx="0">
                  <c:v>9.0999999999999998E-2</c:v>
                </c:pt>
                <c:pt idx="1">
                  <c:v>0.63200000000000001</c:v>
                </c:pt>
                <c:pt idx="2" formatCode="#,##0">
                  <c:v>1038</c:v>
                </c:pt>
                <c:pt idx="3">
                  <c:v>0.79</c:v>
                </c:pt>
                <c:pt idx="4" formatCode="#,##0">
                  <c:v>1269</c:v>
                </c:pt>
                <c:pt idx="5" formatCode="#,##0">
                  <c:v>3174</c:v>
                </c:pt>
                <c:pt idx="6" formatCode="#,##0">
                  <c:v>3630</c:v>
                </c:pt>
                <c:pt idx="7" formatCode="#,##0">
                  <c:v>6117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  <c:pt idx="0">
                  <c:v>6.7000000000000004E-2</c:v>
                </c:pt>
                <c:pt idx="1">
                  <c:v>0.74199999999999999</c:v>
                </c:pt>
                <c:pt idx="2">
                  <c:v>0.93300000000000005</c:v>
                </c:pt>
                <c:pt idx="3" formatCode="#,##0">
                  <c:v>2110</c:v>
                </c:pt>
                <c:pt idx="4" formatCode="#,##0">
                  <c:v>3064</c:v>
                </c:pt>
                <c:pt idx="5" formatCode="#,##0">
                  <c:v>2921</c:v>
                </c:pt>
                <c:pt idx="6" formatCode="#,##0">
                  <c:v>5421</c:v>
                </c:pt>
                <c:pt idx="7" formatCode="#,##0">
                  <c:v>9367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General</c:formatCode>
                <c:ptCount val="8"/>
                <c:pt idx="0">
                  <c:v>6.0000000000000001E-3</c:v>
                </c:pt>
                <c:pt idx="1">
                  <c:v>4.0000000000000001E-3</c:v>
                </c:pt>
                <c:pt idx="2">
                  <c:v>3.0000000000000001E-3</c:v>
                </c:pt>
                <c:pt idx="3">
                  <c:v>2E-3</c:v>
                </c:pt>
                <c:pt idx="4">
                  <c:v>1E-3</c:v>
                </c:pt>
                <c:pt idx="5">
                  <c:v>0</c:v>
                </c:pt>
                <c:pt idx="6">
                  <c:v>3.0000000000000001E-3</c:v>
                </c:pt>
                <c:pt idx="7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  <c:pt idx="0">
                  <c:v>4.3999999999999997E-2</c:v>
                </c:pt>
                <c:pt idx="1">
                  <c:v>0.27800000000000002</c:v>
                </c:pt>
                <c:pt idx="2">
                  <c:v>0.45400000000000001</c:v>
                </c:pt>
                <c:pt idx="3">
                  <c:v>0.36499999999999999</c:v>
                </c:pt>
                <c:pt idx="4">
                  <c:v>0.502</c:v>
                </c:pt>
                <c:pt idx="5">
                  <c:v>0.88100000000000001</c:v>
                </c:pt>
                <c:pt idx="6" formatCode="#,##0">
                  <c:v>1368</c:v>
                </c:pt>
                <c:pt idx="7" formatCode="#,##0">
                  <c:v>2494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General</c:formatCode>
                <c:ptCount val="8"/>
                <c:pt idx="0">
                  <c:v>5.1999999999999998E-2</c:v>
                </c:pt>
                <c:pt idx="1">
                  <c:v>0.45900000000000002</c:v>
                </c:pt>
                <c:pt idx="2">
                  <c:v>0.72899999999999998</c:v>
                </c:pt>
                <c:pt idx="3" formatCode="#,##0">
                  <c:v>1553</c:v>
                </c:pt>
                <c:pt idx="4">
                  <c:v>0.85199999999999998</c:v>
                </c:pt>
                <c:pt idx="5" formatCode="#,##0">
                  <c:v>1520</c:v>
                </c:pt>
                <c:pt idx="6" formatCode="#,##0">
                  <c:v>3737</c:v>
                </c:pt>
                <c:pt idx="7" formatCode="#,##0">
                  <c:v>4533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General</c:formatCode>
                <c:ptCount val="8"/>
                <c:pt idx="0">
                  <c:v>8.8999999999999996E-2</c:v>
                </c:pt>
                <c:pt idx="1">
                  <c:v>0.63800000000000001</c:v>
                </c:pt>
                <c:pt idx="2" formatCode="#,##0">
                  <c:v>1023</c:v>
                </c:pt>
                <c:pt idx="3">
                  <c:v>0.86799999999999999</c:v>
                </c:pt>
                <c:pt idx="4" formatCode="#,##0">
                  <c:v>1158</c:v>
                </c:pt>
                <c:pt idx="5" formatCode="#,##0">
                  <c:v>1925</c:v>
                </c:pt>
                <c:pt idx="6" formatCode="#,##0">
                  <c:v>3315</c:v>
                </c:pt>
                <c:pt idx="7" formatCode="#,##0">
                  <c:v>4907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#,##0</c:formatCode>
                <c:ptCount val="8"/>
                <c:pt idx="0" formatCode="General">
                  <c:v>0.27900000000000003</c:v>
                </c:pt>
                <c:pt idx="1">
                  <c:v>10017</c:v>
                </c:pt>
                <c:pt idx="2">
                  <c:v>37450</c:v>
                </c:pt>
                <c:pt idx="3">
                  <c:v>137561</c:v>
                </c:pt>
                <c:pt idx="4">
                  <c:v>313341</c:v>
                </c:pt>
                <c:pt idx="5">
                  <c:v>873784</c:v>
                </c:pt>
                <c:pt idx="6">
                  <c:v>2294423</c:v>
                </c:pt>
                <c:pt idx="7">
                  <c:v>4024801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de tiempos de ejecucion para Stack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General</c:formatCode>
                <c:ptCount val="8"/>
                <c:pt idx="0">
                  <c:v>5.0000000000000001E-3</c:v>
                </c:pt>
                <c:pt idx="1">
                  <c:v>4.0000000000000001E-3</c:v>
                </c:pt>
                <c:pt idx="2">
                  <c:v>3.0000000000000001E-3</c:v>
                </c:pt>
                <c:pt idx="3">
                  <c:v>2E-3</c:v>
                </c:pt>
                <c:pt idx="4">
                  <c:v>1E-3</c:v>
                </c:pt>
                <c:pt idx="5">
                  <c:v>3.0000000000000001E-3</c:v>
                </c:pt>
                <c:pt idx="6">
                  <c:v>2E-3</c:v>
                </c:pt>
                <c:pt idx="7">
                  <c:v>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General</c:formatCode>
                <c:ptCount val="8"/>
                <c:pt idx="0">
                  <c:v>1.0999999999999999E-2</c:v>
                </c:pt>
                <c:pt idx="1">
                  <c:v>4.2000000000000003E-2</c:v>
                </c:pt>
                <c:pt idx="2">
                  <c:v>8.5000000000000006E-2</c:v>
                </c:pt>
                <c:pt idx="3">
                  <c:v>0.125</c:v>
                </c:pt>
                <c:pt idx="4">
                  <c:v>9.4E-2</c:v>
                </c:pt>
                <c:pt idx="5">
                  <c:v>0.158</c:v>
                </c:pt>
                <c:pt idx="6">
                  <c:v>0.32500000000000001</c:v>
                </c:pt>
                <c:pt idx="7">
                  <c:v>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Tamaño de la muestra [Num. elementos]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0"/>
    <tableColumn id="8" xr3:uid="{092BA754-1EE8-42B8-A0C9-8E5FBAFE3FD2}" name="push (Array List)" dataDxfId="13"/>
    <tableColumn id="9" xr3:uid="{F7FD567A-4A42-4CDC-9449-A0BA8E9714D3}" name="pop (Array List)" dataDxfId="12"/>
    <tableColumn id="11" xr3:uid="{91D17C3E-2CFC-4978-91FF-19ADDF3A1CD9}" name="top(Array List) " dataDxfId="1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10" dataDxfId="9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8"/>
    <tableColumn id="2" xr3:uid="{4F9B7329-040C-4D35-96E7-B9181424DC65}" name="Tamaño de la muestra (LINKED_LIST)" dataDxfId="7">
      <calculatedColumnFormula>Table13[[#This Row],[Porcentaje de la muestra '[pct']]]*10000</calculatedColumnFormula>
    </tableColumn>
    <tableColumn id="3" xr3:uid="{BDA028DF-4CED-4928-B040-96AD8F8A43EB}" name="enqueue (Linked List) " dataDxfId="6"/>
    <tableColumn id="4" xr3:uid="{A5E99D51-DD73-48A7-AE0D-601A8EE89AFA}" name="dequeue (Linked List)  " dataDxfId="5"/>
    <tableColumn id="5" xr3:uid="{EE99E4CD-A6F0-492B-B754-38221659D42F}" name="peek (Linked List)  " dataDxfId="4"/>
    <tableColumn id="8" xr3:uid="{D4319BDE-1663-4E02-A459-D4E464B40376}" name="push (Linked List) " dataDxfId="3"/>
    <tableColumn id="9" xr3:uid="{D1102AA4-3669-4976-AB80-8CA1D8EED93A}" name="pop (Linked List) " dataDxfId="2"/>
    <tableColumn id="11" xr3:uid="{A75BD949-6BC0-4683-B105-18DE72DE82D5}" name="top(Linked List) 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1"/>
  <sheetViews>
    <sheetView tabSelected="1" zoomScale="90" zoomScaleNormal="90" workbookViewId="0">
      <selection activeCell="H11" sqref="H11"/>
    </sheetView>
  </sheetViews>
  <sheetFormatPr baseColWidth="10" defaultColWidth="8.81640625" defaultRowHeight="14.5"/>
  <cols>
    <col min="1" max="1" width="19.1796875" style="1" bestFit="1" customWidth="1"/>
    <col min="2" max="2" width="25.54296875" style="1" bestFit="1" customWidth="1"/>
    <col min="3" max="4" width="24.453125" style="1" customWidth="1"/>
    <col min="5" max="5" width="24.453125" style="6" customWidth="1"/>
    <col min="6" max="12" width="24.453125" customWidth="1"/>
  </cols>
  <sheetData>
    <row r="1" spans="1:8" ht="14.25" customHeight="1">
      <c r="C1" s="7" t="s">
        <v>15</v>
      </c>
      <c r="D1" s="7"/>
      <c r="E1" s="7"/>
      <c r="F1" s="8" t="s">
        <v>16</v>
      </c>
      <c r="G1" s="8"/>
      <c r="H1" s="8"/>
    </row>
    <row r="2" spans="1:8" s="5" customFormat="1" ht="2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s="5" customFormat="1" ht="14">
      <c r="A3" s="2">
        <v>5.0000000000000001E-3</v>
      </c>
      <c r="B3" s="3">
        <f>Table1[[#This Row],[Porcentaje de la muestra '[pct']]]*10000</f>
        <v>50</v>
      </c>
      <c r="C3" s="4">
        <v>6.4000000000000001E-2</v>
      </c>
      <c r="D3" s="4">
        <v>6.7000000000000004E-2</v>
      </c>
      <c r="E3" s="4">
        <v>6.7000000000000004E-2</v>
      </c>
      <c r="F3" s="4">
        <v>4.3999999999999997E-2</v>
      </c>
      <c r="G3" s="4">
        <v>8.8999999999999996E-2</v>
      </c>
      <c r="H3" s="4">
        <v>5.0000000000000001E-3</v>
      </c>
    </row>
    <row r="4" spans="1:8" s="5" customFormat="1" ht="14">
      <c r="A4" s="2">
        <v>0.05</v>
      </c>
      <c r="B4" s="3">
        <f>Table1[[#This Row],[Porcentaje de la muestra '[pct']]]*10000</f>
        <v>500</v>
      </c>
      <c r="C4" s="4">
        <v>0.437</v>
      </c>
      <c r="D4" s="4">
        <v>0.74199999999999999</v>
      </c>
      <c r="E4" s="4">
        <v>0.74199999999999999</v>
      </c>
      <c r="F4" s="4">
        <v>0.27800000000000002</v>
      </c>
      <c r="G4" s="4">
        <v>0.63800000000000001</v>
      </c>
      <c r="H4" s="4">
        <v>4.0000000000000001E-3</v>
      </c>
    </row>
    <row r="5" spans="1:8">
      <c r="A5" s="2">
        <v>0.1</v>
      </c>
      <c r="B5" s="3">
        <f>Table1[[#This Row],[Porcentaje de la muestra '[pct']]]*10000</f>
        <v>1000</v>
      </c>
      <c r="C5" s="4">
        <v>0.503</v>
      </c>
      <c r="D5" s="4">
        <v>0.93300000000000005</v>
      </c>
      <c r="E5" s="4">
        <v>0.93300000000000005</v>
      </c>
      <c r="F5" s="4">
        <v>0.45400000000000001</v>
      </c>
      <c r="G5" s="10">
        <v>1023</v>
      </c>
      <c r="H5" s="4">
        <v>3.0000000000000001E-3</v>
      </c>
    </row>
    <row r="6" spans="1:8">
      <c r="A6" s="2">
        <v>0.2</v>
      </c>
      <c r="B6" s="3">
        <f>Table1[[#This Row],[Porcentaje de la muestra '[pct']]]*10000</f>
        <v>2000</v>
      </c>
      <c r="C6" s="10">
        <v>1274</v>
      </c>
      <c r="D6" s="10">
        <v>2110</v>
      </c>
      <c r="E6" s="10">
        <v>2110</v>
      </c>
      <c r="F6" s="4">
        <v>0.36499999999999999</v>
      </c>
      <c r="G6" s="4">
        <v>0.86799999999999999</v>
      </c>
      <c r="H6" s="4">
        <v>2E-3</v>
      </c>
    </row>
    <row r="7" spans="1:8">
      <c r="A7" s="2">
        <v>0.3</v>
      </c>
      <c r="B7" s="3">
        <f>Table1[[#This Row],[Porcentaje de la muestra '[pct']]]*10000</f>
        <v>3000</v>
      </c>
      <c r="C7" s="10">
        <v>1416</v>
      </c>
      <c r="D7" s="10">
        <v>3064</v>
      </c>
      <c r="E7" s="10">
        <v>3064</v>
      </c>
      <c r="F7" s="4">
        <v>0.502</v>
      </c>
      <c r="G7" s="10">
        <v>1158</v>
      </c>
      <c r="H7" s="4">
        <v>1E-3</v>
      </c>
    </row>
    <row r="8" spans="1:8">
      <c r="A8" s="2">
        <v>0.5</v>
      </c>
      <c r="B8" s="3">
        <f>Table1[[#This Row],[Porcentaje de la muestra '[pct']]]*10000</f>
        <v>5000</v>
      </c>
      <c r="C8" s="10">
        <v>2399</v>
      </c>
      <c r="D8" s="10">
        <v>2921</v>
      </c>
      <c r="E8" s="10">
        <v>2921</v>
      </c>
      <c r="F8" s="4">
        <v>0.88100000000000001</v>
      </c>
      <c r="G8" s="10">
        <v>1925</v>
      </c>
      <c r="H8" s="4">
        <v>3.0000000000000001E-3</v>
      </c>
    </row>
    <row r="9" spans="1:8">
      <c r="A9" s="2">
        <v>0.8</v>
      </c>
      <c r="B9" s="3">
        <f>Table1[[#This Row],[Porcentaje de la muestra '[pct']]]*10000</f>
        <v>8000</v>
      </c>
      <c r="C9" s="10">
        <v>3604</v>
      </c>
      <c r="D9" s="10">
        <v>5421</v>
      </c>
      <c r="E9" s="10">
        <v>5421</v>
      </c>
      <c r="F9" s="10">
        <v>1368</v>
      </c>
      <c r="G9" s="10">
        <v>3315</v>
      </c>
      <c r="H9" s="4">
        <v>2E-3</v>
      </c>
    </row>
    <row r="10" spans="1:8">
      <c r="A10" s="2">
        <v>1</v>
      </c>
      <c r="B10" s="3">
        <f>Table1[[#This Row],[Porcentaje de la muestra '[pct']]]*10000</f>
        <v>10000</v>
      </c>
      <c r="C10" s="10">
        <v>2468</v>
      </c>
      <c r="D10" s="10">
        <v>9367</v>
      </c>
      <c r="E10" s="10">
        <v>9367</v>
      </c>
      <c r="F10" s="10">
        <v>2494</v>
      </c>
      <c r="G10" s="10">
        <v>4907</v>
      </c>
      <c r="H10" s="4">
        <v>2E-3</v>
      </c>
    </row>
    <row r="12" spans="1:8" ht="14.25" customHeight="1">
      <c r="C12" s="7" t="s">
        <v>15</v>
      </c>
      <c r="D12" s="7"/>
      <c r="E12" s="7"/>
      <c r="F12" s="8" t="s">
        <v>16</v>
      </c>
      <c r="G12" s="8"/>
      <c r="H12" s="8"/>
    </row>
    <row r="13" spans="1:8" s="5" customFormat="1" ht="28">
      <c r="A13" s="4" t="s">
        <v>0</v>
      </c>
      <c r="B13" s="4" t="s">
        <v>8</v>
      </c>
      <c r="C13" s="4" t="s">
        <v>9</v>
      </c>
      <c r="D13" s="4" t="s">
        <v>10</v>
      </c>
      <c r="E13" s="4" t="s">
        <v>11</v>
      </c>
      <c r="F13" s="4" t="s">
        <v>12</v>
      </c>
      <c r="G13" s="4" t="s">
        <v>13</v>
      </c>
      <c r="H13" s="4" t="s">
        <v>14</v>
      </c>
    </row>
    <row r="14" spans="1:8" s="5" customFormat="1" ht="14">
      <c r="A14" s="2">
        <v>5.0000000000000001E-3</v>
      </c>
      <c r="B14" s="3">
        <f>Table13[[#This Row],[Porcentaje de la muestra '[pct']]]*10000</f>
        <v>50</v>
      </c>
      <c r="C14" s="4">
        <v>7.0999999999999994E-2</v>
      </c>
      <c r="D14" s="4">
        <v>9.0999999999999998E-2</v>
      </c>
      <c r="E14" s="4">
        <v>6.0000000000000001E-3</v>
      </c>
      <c r="F14" s="4">
        <v>5.1999999999999998E-2</v>
      </c>
      <c r="G14" s="4">
        <v>0.27900000000000003</v>
      </c>
      <c r="H14" s="4">
        <v>1.0999999999999999E-2</v>
      </c>
    </row>
    <row r="15" spans="1:8" s="5" customFormat="1" ht="14">
      <c r="A15" s="2">
        <v>0.05</v>
      </c>
      <c r="B15" s="3">
        <f>Table13[[#This Row],[Porcentaje de la muestra '[pct']]]*10000</f>
        <v>500</v>
      </c>
      <c r="C15" s="4">
        <v>0.67800000000000005</v>
      </c>
      <c r="D15" s="4">
        <v>0.63200000000000001</v>
      </c>
      <c r="E15" s="4">
        <v>4.0000000000000001E-3</v>
      </c>
      <c r="F15" s="9">
        <v>0.45900000000000002</v>
      </c>
      <c r="G15" s="10">
        <v>10017</v>
      </c>
      <c r="H15" s="4">
        <v>4.2000000000000003E-2</v>
      </c>
    </row>
    <row r="16" spans="1:8">
      <c r="A16" s="2">
        <v>0.1</v>
      </c>
      <c r="B16" s="3">
        <f>Table13[[#This Row],[Porcentaje de la muestra '[pct']]]*10000</f>
        <v>1000</v>
      </c>
      <c r="C16" s="4">
        <v>0.76500000000000001</v>
      </c>
      <c r="D16" s="10">
        <v>1038</v>
      </c>
      <c r="E16" s="4">
        <v>3.0000000000000001E-3</v>
      </c>
      <c r="F16" s="9">
        <v>0.72899999999999998</v>
      </c>
      <c r="G16" s="10">
        <v>37450</v>
      </c>
      <c r="H16" s="4">
        <v>8.5000000000000006E-2</v>
      </c>
    </row>
    <row r="17" spans="1:8">
      <c r="A17" s="2">
        <v>0.2</v>
      </c>
      <c r="B17" s="3">
        <f>Table13[[#This Row],[Porcentaje de la muestra '[pct']]]*10000</f>
        <v>2000</v>
      </c>
      <c r="C17" s="4">
        <v>0.66</v>
      </c>
      <c r="D17" s="4">
        <v>0.79</v>
      </c>
      <c r="E17" s="4">
        <v>2E-3</v>
      </c>
      <c r="F17" s="10">
        <v>1553</v>
      </c>
      <c r="G17" s="10">
        <v>137561</v>
      </c>
      <c r="H17" s="4">
        <v>0.125</v>
      </c>
    </row>
    <row r="18" spans="1:8">
      <c r="A18" s="2">
        <v>0.3</v>
      </c>
      <c r="B18" s="3">
        <f>Table13[[#This Row],[Porcentaje de la muestra '[pct']]]*10000</f>
        <v>3000</v>
      </c>
      <c r="C18" s="10">
        <v>1097</v>
      </c>
      <c r="D18" s="10">
        <v>1269</v>
      </c>
      <c r="E18" s="4">
        <v>1E-3</v>
      </c>
      <c r="F18" s="4">
        <v>0.85199999999999998</v>
      </c>
      <c r="G18" s="10">
        <v>313341</v>
      </c>
      <c r="H18" s="4">
        <v>9.4E-2</v>
      </c>
    </row>
    <row r="19" spans="1:8">
      <c r="A19" s="2">
        <v>0.5</v>
      </c>
      <c r="B19" s="3">
        <f>Table13[[#This Row],[Porcentaje de la muestra '[pct']]]*10000</f>
        <v>5000</v>
      </c>
      <c r="C19" s="10">
        <v>4308</v>
      </c>
      <c r="D19" s="10">
        <v>3174</v>
      </c>
      <c r="E19" s="4" t="s">
        <v>17</v>
      </c>
      <c r="F19" s="10">
        <v>1520</v>
      </c>
      <c r="G19" s="10">
        <v>873784</v>
      </c>
      <c r="H19" s="4">
        <v>0.158</v>
      </c>
    </row>
    <row r="20" spans="1:8">
      <c r="A20" s="2">
        <v>0.8</v>
      </c>
      <c r="B20" s="3">
        <f>Table13[[#This Row],[Porcentaje de la muestra '[pct']]]*10000</f>
        <v>8000</v>
      </c>
      <c r="C20" s="10">
        <v>6842</v>
      </c>
      <c r="D20" s="10">
        <v>3630</v>
      </c>
      <c r="E20" s="4">
        <v>3.0000000000000001E-3</v>
      </c>
      <c r="F20" s="10">
        <v>3737</v>
      </c>
      <c r="G20" s="10">
        <v>2294423</v>
      </c>
      <c r="H20" s="4">
        <v>0.32500000000000001</v>
      </c>
    </row>
    <row r="21" spans="1:8">
      <c r="A21" s="2">
        <v>1</v>
      </c>
      <c r="B21" s="3">
        <f>Table13[[#This Row],[Porcentaje de la muestra '[pct']]]*10000</f>
        <v>10000</v>
      </c>
      <c r="C21" s="10">
        <v>5873</v>
      </c>
      <c r="D21" s="10">
        <v>6117</v>
      </c>
      <c r="E21" s="4">
        <v>1E-3</v>
      </c>
      <c r="F21" s="10">
        <v>4533</v>
      </c>
      <c r="G21" s="10">
        <v>4024801</v>
      </c>
      <c r="H21" s="4">
        <v>0.41</v>
      </c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www.w3.org/XML/1998/namespace"/>
    <ds:schemaRef ds:uri="http://schemas.microsoft.com/office/2006/metadata/properties"/>
    <ds:schemaRef ds:uri="85e30bcc-d76c-4413-8e4d-2dce22fb0743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Juan Ospina</cp:lastModifiedBy>
  <cp:revision/>
  <dcterms:created xsi:type="dcterms:W3CDTF">2021-02-18T03:17:26Z</dcterms:created>
  <dcterms:modified xsi:type="dcterms:W3CDTF">2026-09-07T03:56:58Z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